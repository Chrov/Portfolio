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185f187e2180316/Documentos/Data Analyst/portfolio/outputs/portfolio-20260907/"/>
    </mc:Choice>
  </mc:AlternateContent>
  <xr:revisionPtr revIDLastSave="8" documentId="11_3A36416CB66BB9C074ED650F27610294735171CA" xr6:coauthVersionLast="47" xr6:coauthVersionMax="47" xr10:uidLastSave="{65AD608B-76C7-410C-96FF-825E20FCA339}"/>
  <bookViews>
    <workbookView xWindow="-28920" yWindow="-120" windowWidth="29040" windowHeight="15720" activeTab="1" xr2:uid="{00000000-000D-0000-FFFF-FFFF00000000}"/>
  </bookViews>
  <sheets>
    <sheet name="Pivot" sheetId="4" r:id="rId1"/>
    <sheet name="Dashboard" sheetId="1" r:id="rId2"/>
    <sheet name="Summary" sheetId="2" r:id="rId3"/>
    <sheet name="Data" sheetId="3" r:id="rId4"/>
  </sheets>
  <calcPr calcId="191029"/>
  <pivotCaches>
    <pivotCache cacheId="7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0" i="2" l="1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H5" i="1"/>
  <c r="E5" i="1"/>
  <c r="B5" i="1"/>
</calcChain>
</file>

<file path=xl/sharedStrings.xml><?xml version="1.0" encoding="utf-8"?>
<sst xmlns="http://schemas.openxmlformats.org/spreadsheetml/2006/main" count="22" uniqueCount="22">
  <si>
    <t>Cobre chileno / Chilean copper</t>
  </si>
  <si>
    <t>2024 production (kt)</t>
  </si>
  <si>
    <t>2024 exports (USD m)</t>
  </si>
  <si>
    <t>2024 LME (US cents/lb)</t>
  </si>
  <si>
    <t>Production, prices and export values have different units. No causal attribution.</t>
  </si>
  <si>
    <t>ES: Datos y resumen editables. Tabla dinámica en Pivot al abrir la versión final.</t>
  </si>
  <si>
    <t>EN: Editable source and summary. Native PivotTable on Pivot in the final workbook.</t>
  </si>
  <si>
    <t>Year</t>
  </si>
  <si>
    <t>Production (kt)</t>
  </si>
  <si>
    <t>year</t>
  </si>
  <si>
    <t>production_kt</t>
  </si>
  <si>
    <t>price_us_cent_lb</t>
  </si>
  <si>
    <t>exports_usd_m</t>
  </si>
  <si>
    <t>Source / Fuente</t>
  </si>
  <si>
    <t>COCHILCO, 50 años de la minería en cifras. Annual 1976–2024. Nominal values.</t>
  </si>
  <si>
    <t>Exploración / Exploration</t>
  </si>
  <si>
    <t>Refresh All after editing Data / Actualizar todo después de editar Data</t>
  </si>
  <si>
    <t>Row Labels</t>
  </si>
  <si>
    <t>Grand Total</t>
  </si>
  <si>
    <t>Production kt</t>
  </si>
  <si>
    <t>Exports USD m</t>
  </si>
  <si>
    <t>Price cents 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</si>
</sst>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7">
    <font>
      <sz val="11"/>
      <name val="Carlito"/>
    </font>
    <font>
      <sz val="11"/>
      <name val="Arial"/>
    </font>
    <font>
      <b/>
      <sz val="11"/>
      <color rgb="FFFFFFFF"/>
      <name val="Arial"/>
    </font>
    <font>
      <b/>
      <sz val="17"/>
      <color rgb="FF1C2D42"/>
      <name val="Arial"/>
    </font>
    <font>
      <b/>
      <sz val="17"/>
      <color rgb="FF4A5D4E"/>
      <name val="Arial"/>
    </font>
    <font>
      <sz val="10"/>
      <color rgb="FF6E6459"/>
      <name val="Arial"/>
    </font>
    <font>
      <sz val="16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C2D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0" xfId="0" applyFont="1" applyFill="1"/>
    <xf numFmtId="164" fontId="1" fillId="0" borderId="0" xfId="0" applyNumberFormat="1" applyFont="1"/>
    <xf numFmtId="0" fontId="3" fillId="0" borderId="0" xfId="0" applyFont="1"/>
    <xf numFmtId="164" fontId="4" fillId="0" borderId="0" xfId="0" applyNumberFormat="1" applyFont="1"/>
    <xf numFmtId="0" fontId="5" fillId="0" borderId="0" xfId="0" applyFont="1"/>
    <xf numFmtId="0" fontId="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050">
                <a:latin typeface="Arial"/>
                <a:ea typeface="Arial"/>
                <a:cs typeface="Arial"/>
              </a:rPr>
              <a:t>Production (kt)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Production (kt)</c:v>
          </c:tx>
          <c:spPr>
            <a:ln w="19050">
              <a:solidFill>
                <a:srgbClr val="4A5D4E"/>
              </a:solidFill>
              <a:prstDash val="solid"/>
            </a:ln>
          </c:spPr>
          <c:marker>
            <c:symbol val="none"/>
          </c:marker>
          <c:cat>
            <c:numRef>
              <c:f>Summary!$A$2:$A$50</c:f>
              <c:numCache>
                <c:formatCode>General</c:formatCode>
                <c:ptCount val="49"/>
                <c:pt idx="0">
                  <c:v>1976</c:v>
                </c:pt>
                <c:pt idx="1">
                  <c:v>1977</c:v>
                </c:pt>
                <c:pt idx="2">
                  <c:v>1978</c:v>
                </c:pt>
                <c:pt idx="3">
                  <c:v>1979</c:v>
                </c:pt>
                <c:pt idx="4">
                  <c:v>1980</c:v>
                </c:pt>
                <c:pt idx="5">
                  <c:v>1981</c:v>
                </c:pt>
                <c:pt idx="6">
                  <c:v>1982</c:v>
                </c:pt>
                <c:pt idx="7">
                  <c:v>1983</c:v>
                </c:pt>
                <c:pt idx="8">
                  <c:v>1984</c:v>
                </c:pt>
                <c:pt idx="9">
                  <c:v>1985</c:v>
                </c:pt>
                <c:pt idx="10">
                  <c:v>1986</c:v>
                </c:pt>
                <c:pt idx="11">
                  <c:v>1987</c:v>
                </c:pt>
                <c:pt idx="12">
                  <c:v>1988</c:v>
                </c:pt>
                <c:pt idx="13">
                  <c:v>1989</c:v>
                </c:pt>
                <c:pt idx="14">
                  <c:v>1990</c:v>
                </c:pt>
                <c:pt idx="15">
                  <c:v>1991</c:v>
                </c:pt>
                <c:pt idx="16">
                  <c:v>1992</c:v>
                </c:pt>
                <c:pt idx="17">
                  <c:v>1993</c:v>
                </c:pt>
                <c:pt idx="18">
                  <c:v>1994</c:v>
                </c:pt>
                <c:pt idx="19">
                  <c:v>1995</c:v>
                </c:pt>
                <c:pt idx="20">
                  <c:v>1996</c:v>
                </c:pt>
                <c:pt idx="21">
                  <c:v>1997</c:v>
                </c:pt>
                <c:pt idx="22">
                  <c:v>1998</c:v>
                </c:pt>
                <c:pt idx="23">
                  <c:v>1999</c:v>
                </c:pt>
                <c:pt idx="24">
                  <c:v>2000</c:v>
                </c:pt>
                <c:pt idx="25">
                  <c:v>2001</c:v>
                </c:pt>
                <c:pt idx="26">
                  <c:v>2002</c:v>
                </c:pt>
                <c:pt idx="27">
                  <c:v>2003</c:v>
                </c:pt>
                <c:pt idx="28">
                  <c:v>2004</c:v>
                </c:pt>
                <c:pt idx="29">
                  <c:v>2005</c:v>
                </c:pt>
                <c:pt idx="30">
                  <c:v>2006</c:v>
                </c:pt>
                <c:pt idx="31">
                  <c:v>2007</c:v>
                </c:pt>
                <c:pt idx="32">
                  <c:v>2008</c:v>
                </c:pt>
                <c:pt idx="33">
                  <c:v>2009</c:v>
                </c:pt>
                <c:pt idx="34">
                  <c:v>2010</c:v>
                </c:pt>
                <c:pt idx="35">
                  <c:v>2011</c:v>
                </c:pt>
                <c:pt idx="36">
                  <c:v>2012</c:v>
                </c:pt>
                <c:pt idx="37">
                  <c:v>2013</c:v>
                </c:pt>
                <c:pt idx="38">
                  <c:v>2014</c:v>
                </c:pt>
                <c:pt idx="39">
                  <c:v>2015</c:v>
                </c:pt>
                <c:pt idx="40">
                  <c:v>2016</c:v>
                </c:pt>
                <c:pt idx="41">
                  <c:v>2017</c:v>
                </c:pt>
                <c:pt idx="42">
                  <c:v>2018</c:v>
                </c:pt>
                <c:pt idx="43">
                  <c:v>2019</c:v>
                </c:pt>
                <c:pt idx="44">
                  <c:v>2020</c:v>
                </c:pt>
                <c:pt idx="45">
                  <c:v>2021</c:v>
                </c:pt>
                <c:pt idx="46">
                  <c:v>2022</c:v>
                </c:pt>
                <c:pt idx="47">
                  <c:v>2023</c:v>
                </c:pt>
                <c:pt idx="48">
                  <c:v>2024</c:v>
                </c:pt>
              </c:numCache>
            </c:numRef>
          </c:cat>
          <c:val>
            <c:numRef>
              <c:f>Summary!$B$2:$B$50</c:f>
              <c:numCache>
                <c:formatCode>General</c:formatCode>
                <c:ptCount val="49"/>
                <c:pt idx="0">
                  <c:v>1005.2</c:v>
                </c:pt>
                <c:pt idx="1">
                  <c:v>1056.2</c:v>
                </c:pt>
                <c:pt idx="2">
                  <c:v>1035.5</c:v>
                </c:pt>
                <c:pt idx="3">
                  <c:v>1065</c:v>
                </c:pt>
                <c:pt idx="4">
                  <c:v>1074.5999999999999</c:v>
                </c:pt>
                <c:pt idx="5">
                  <c:v>1081.0999999999999</c:v>
                </c:pt>
                <c:pt idx="6">
                  <c:v>1240.7</c:v>
                </c:pt>
                <c:pt idx="7">
                  <c:v>1257.2</c:v>
                </c:pt>
                <c:pt idx="8">
                  <c:v>1290</c:v>
                </c:pt>
                <c:pt idx="9">
                  <c:v>1356</c:v>
                </c:pt>
                <c:pt idx="10">
                  <c:v>1401.1</c:v>
                </c:pt>
                <c:pt idx="11">
                  <c:v>1418.3</c:v>
                </c:pt>
                <c:pt idx="12">
                  <c:v>1451</c:v>
                </c:pt>
                <c:pt idx="13">
                  <c:v>1609.3</c:v>
                </c:pt>
                <c:pt idx="14">
                  <c:v>1588.4</c:v>
                </c:pt>
                <c:pt idx="15">
                  <c:v>1814.3</c:v>
                </c:pt>
                <c:pt idx="16">
                  <c:v>1932.7</c:v>
                </c:pt>
                <c:pt idx="17">
                  <c:v>2055.4</c:v>
                </c:pt>
                <c:pt idx="18">
                  <c:v>2219.9</c:v>
                </c:pt>
                <c:pt idx="19">
                  <c:v>2488.6</c:v>
                </c:pt>
                <c:pt idx="20">
                  <c:v>3115.8</c:v>
                </c:pt>
                <c:pt idx="21">
                  <c:v>3392</c:v>
                </c:pt>
                <c:pt idx="22">
                  <c:v>3686.9</c:v>
                </c:pt>
                <c:pt idx="23">
                  <c:v>4391.2</c:v>
                </c:pt>
                <c:pt idx="24">
                  <c:v>4602</c:v>
                </c:pt>
                <c:pt idx="25">
                  <c:v>4739</c:v>
                </c:pt>
                <c:pt idx="26">
                  <c:v>4580.6000000000004</c:v>
                </c:pt>
                <c:pt idx="27">
                  <c:v>4904.2</c:v>
                </c:pt>
                <c:pt idx="28">
                  <c:v>5412.5</c:v>
                </c:pt>
                <c:pt idx="29">
                  <c:v>5320.5</c:v>
                </c:pt>
                <c:pt idx="30">
                  <c:v>5360.8</c:v>
                </c:pt>
                <c:pt idx="31">
                  <c:v>5557</c:v>
                </c:pt>
                <c:pt idx="32">
                  <c:v>5327.6</c:v>
                </c:pt>
                <c:pt idx="33">
                  <c:v>5394.4</c:v>
                </c:pt>
                <c:pt idx="34">
                  <c:v>5418.9</c:v>
                </c:pt>
                <c:pt idx="35">
                  <c:v>5262.8</c:v>
                </c:pt>
                <c:pt idx="36">
                  <c:v>5433.9</c:v>
                </c:pt>
                <c:pt idx="37">
                  <c:v>5776</c:v>
                </c:pt>
                <c:pt idx="38">
                  <c:v>5761.1</c:v>
                </c:pt>
                <c:pt idx="39">
                  <c:v>5772.1</c:v>
                </c:pt>
                <c:pt idx="40">
                  <c:v>5552.6</c:v>
                </c:pt>
                <c:pt idx="41">
                  <c:v>5503.5</c:v>
                </c:pt>
                <c:pt idx="42">
                  <c:v>5831.6</c:v>
                </c:pt>
                <c:pt idx="43">
                  <c:v>5787.4</c:v>
                </c:pt>
                <c:pt idx="44">
                  <c:v>5733.1</c:v>
                </c:pt>
                <c:pt idx="45">
                  <c:v>5624.9</c:v>
                </c:pt>
                <c:pt idx="46">
                  <c:v>5328.3</c:v>
                </c:pt>
                <c:pt idx="47">
                  <c:v>5250.4</c:v>
                </c:pt>
                <c:pt idx="48">
                  <c:v>5505.9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44-45AA-AA8B-202BBD460B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13</xdr:col>
      <xdr:colOff>0</xdr:colOff>
      <xdr:row>28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milo Vergara" refreshedDate="46272.900119212965" createdVersion="8" refreshedVersion="8" minRefreshableVersion="3" recordCount="49" xr:uid="{7CC0C700-BF2A-4E83-BBDE-C6505BE3114A}">
  <cacheSource type="worksheet">
    <worksheetSource name="SourceData"/>
  </cacheSource>
  <cacheFields count="4">
    <cacheField name="year" numFmtId="0">
      <sharedItems containsSemiMixedTypes="0" containsString="0" containsNumber="1" containsInteger="1" minValue="1976" maxValue="2024" count="49"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production_kt" numFmtId="164">
      <sharedItems containsSemiMixedTypes="0" containsString="0" containsNumber="1" minValue="1005.2" maxValue="5831.6"/>
    </cacheField>
    <cacheField name="price_us_cent_lb" numFmtId="164">
      <sharedItems containsSemiMixedTypes="0" containsString="0" containsNumber="1" minValue="59.29" maxValue="422.63400000000001"/>
    </cacheField>
    <cacheField name="exports_usd_m" numFmtId="164">
      <sharedItems containsSemiMixedTypes="0" containsString="0" containsNumber="1" minValue="1161.4000000000001" maxValue="52535.8105652525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n v="1005.2"/>
    <n v="63.610999999999997"/>
    <n v="1233.2"/>
  </r>
  <r>
    <x v="1"/>
    <n v="1056.2"/>
    <n v="59.29"/>
    <n v="1161.4000000000001"/>
  </r>
  <r>
    <x v="2"/>
    <n v="1035.5"/>
    <n v="61.886000000000003"/>
    <n v="1218.7"/>
  </r>
  <r>
    <x v="3"/>
    <n v="1065"/>
    <n v="89.83"/>
    <n v="1887.9"/>
  </r>
  <r>
    <x v="4"/>
    <n v="1074.5999999999999"/>
    <n v="99.174000000000007"/>
    <n v="2124.6999999999998"/>
  </r>
  <r>
    <x v="5"/>
    <n v="1081.0999999999999"/>
    <n v="78.948999999999998"/>
    <n v="1737.8"/>
  </r>
  <r>
    <x v="6"/>
    <n v="1240.7"/>
    <n v="67.057000000000002"/>
    <n v="1684.6"/>
  </r>
  <r>
    <x v="7"/>
    <n v="1257.2"/>
    <n v="72.173000000000002"/>
    <n v="1874.9"/>
  </r>
  <r>
    <x v="8"/>
    <n v="1290"/>
    <n v="62.448999999999998"/>
    <n v="1603.9"/>
  </r>
  <r>
    <x v="9"/>
    <n v="1356"/>
    <n v="64.281000000000006"/>
    <n v="1788.7"/>
  </r>
  <r>
    <x v="10"/>
    <n v="1401.1"/>
    <n v="62.286999999999999"/>
    <n v="1757.1"/>
  </r>
  <r>
    <x v="11"/>
    <n v="1418.3"/>
    <n v="81.085999999999999"/>
    <n v="2234.6999999999998"/>
  </r>
  <r>
    <x v="12"/>
    <n v="1451"/>
    <n v="117.937"/>
    <n v="3416.2"/>
  </r>
  <r>
    <x v="13"/>
    <n v="1609.3"/>
    <n v="129.113"/>
    <n v="4021.4"/>
  </r>
  <r>
    <x v="14"/>
    <n v="1588.4"/>
    <n v="120.879"/>
    <n v="3810.2"/>
  </r>
  <r>
    <x v="15"/>
    <n v="1814.3"/>
    <n v="106.066"/>
    <n v="3617.3"/>
  </r>
  <r>
    <x v="16"/>
    <n v="1932.7"/>
    <n v="103.57299999999999"/>
    <n v="3886"/>
  </r>
  <r>
    <x v="17"/>
    <n v="2055.4"/>
    <n v="86.712999999999994"/>
    <n v="3247.8"/>
  </r>
  <r>
    <x v="18"/>
    <n v="2219.9"/>
    <n v="104.90300000000001"/>
    <n v="4242"/>
  </r>
  <r>
    <x v="19"/>
    <n v="2488.6"/>
    <n v="133.19800000000001"/>
    <n v="6487.1"/>
  </r>
  <r>
    <x v="20"/>
    <n v="3115.8"/>
    <n v="103.89400000000001"/>
    <n v="5838.5"/>
  </r>
  <r>
    <x v="21"/>
    <n v="3392"/>
    <n v="103.224"/>
    <n v="6851"/>
  </r>
  <r>
    <x v="22"/>
    <n v="3686.9"/>
    <n v="74.974000000000004"/>
    <n v="5323.7"/>
  </r>
  <r>
    <x v="23"/>
    <n v="4391.2"/>
    <n v="71.38"/>
    <n v="6163.8"/>
  </r>
  <r>
    <x v="24"/>
    <n v="4602"/>
    <n v="82.293999999999997"/>
    <n v="7286.3"/>
  </r>
  <r>
    <x v="25"/>
    <n v="4739"/>
    <n v="71.566000000000003"/>
    <n v="6525.9"/>
  </r>
  <r>
    <x v="26"/>
    <n v="4580.6000000000004"/>
    <n v="70.647000000000006"/>
    <n v="6279.3"/>
  </r>
  <r>
    <x v="27"/>
    <n v="4904.2"/>
    <n v="80.733999999999995"/>
    <n v="7998.8310346300004"/>
  </r>
  <r>
    <x v="28"/>
    <n v="5412.5"/>
    <n v="130.10599999999999"/>
    <n v="15392.115263350001"/>
  </r>
  <r>
    <x v="29"/>
    <n v="5320.5"/>
    <n v="167.08699999999999"/>
    <n v="19911.68966426"/>
  </r>
  <r>
    <x v="30"/>
    <n v="5360.8"/>
    <n v="305.29500000000002"/>
    <n v="33990.187855509997"/>
  </r>
  <r>
    <x v="31"/>
    <n v="5557"/>
    <n v="323.24599999999998"/>
    <n v="39145.892674759998"/>
  </r>
  <r>
    <x v="32"/>
    <n v="5327.6"/>
    <n v="315.31599999999997"/>
    <n v="31688.055242779999"/>
  </r>
  <r>
    <x v="33"/>
    <n v="5394.4"/>
    <n v="234.21700000000001"/>
    <n v="29637.317410799998"/>
  </r>
  <r>
    <x v="34"/>
    <n v="5418.9"/>
    <n v="341.97800000000001"/>
    <n v="41285.929052738"/>
  </r>
  <r>
    <x v="35"/>
    <n v="5262.8"/>
    <n v="399.65600000000001"/>
    <n v="44624.651059409996"/>
  </r>
  <r>
    <x v="36"/>
    <n v="5433.9"/>
    <n v="360.59300000000002"/>
    <n v="41906.064698000002"/>
  </r>
  <r>
    <x v="37"/>
    <n v="5776"/>
    <n v="332.12"/>
    <n v="39891.466376046999"/>
  </r>
  <r>
    <x v="38"/>
    <n v="5761.1"/>
    <n v="311.255"/>
    <n v="37256.686709900001"/>
  </r>
  <r>
    <x v="39"/>
    <n v="5772.1"/>
    <n v="249.226"/>
    <n v="29935.4678184984"/>
  </r>
  <r>
    <x v="40"/>
    <n v="5552.6"/>
    <n v="220.56299999999999"/>
    <n v="27926.969159"/>
  </r>
  <r>
    <x v="41"/>
    <n v="5503.5"/>
    <n v="279.68400000000003"/>
    <n v="34000.920585056003"/>
  </r>
  <r>
    <x v="42"/>
    <n v="5831.6"/>
    <n v="295.88"/>
    <n v="35605.196758263497"/>
  </r>
  <r>
    <x v="43"/>
    <n v="5787.4"/>
    <n v="272.14299999999997"/>
    <n v="32572.9287244722"/>
  </r>
  <r>
    <x v="44"/>
    <n v="5733.1"/>
    <n v="280.34899999999999"/>
    <n v="38467.243152433599"/>
  </r>
  <r>
    <x v="45"/>
    <n v="5624.9"/>
    <n v="422.63400000000001"/>
    <n v="52535.810565252599"/>
  </r>
  <r>
    <x v="46"/>
    <n v="5328.3"/>
    <n v="399.02600000000001"/>
    <n v="43780.272023400001"/>
  </r>
  <r>
    <x v="47"/>
    <n v="5250.4"/>
    <n v="384.54500000000002"/>
    <n v="42603.761320199999"/>
  </r>
  <r>
    <x v="48"/>
    <n v="5505.9"/>
    <n v="414.89100000000002"/>
    <n v="49708.3692202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8E2F6D-FFD0-4994-9870-62B3BA7FE5A8}" name="PortfolioPivot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D55" firstHeaderRow="0" firstDataRow="1" firstDataCol="1"/>
  <pivotFields count="4">
    <pivotField axis="axisRow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dataField="1" numFmtId="164" showAll="0"/>
    <pivotField dataField="1" numFmtId="164" showAll="0"/>
    <pivotField dataField="1" numFmtId="164" showAll="0"/>
  </pivotFields>
  <rowFields count="1">
    <field x="0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Production kt" fld="1" baseField="0" baseItem="0" numFmtId="164"/>
    <dataField name="Exports USD m" fld="3" baseField="0" baseItem="0" numFmtId="164"/>
    <dataField name="Price cents lb" fld="2" subtotal="average" baseField="0" baseItem="0" numFmtId="164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ourceData" displayName="SourceData" ref="A1:D50" totalsRowShown="0">
  <tableColumns count="4">
    <tableColumn id="1" xr3:uid="{00000000-0010-0000-0000-000001000000}" name="year"/>
    <tableColumn id="2" xr3:uid="{00000000-0010-0000-0000-000002000000}" name="production_kt"/>
    <tableColumn id="3" xr3:uid="{00000000-0010-0000-0000-000003000000}" name="price_us_cent_lb"/>
    <tableColumn id="4" xr3:uid="{00000000-0010-0000-0000-000004000000}" name="exports_usd_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E5DC9-8CF4-40AA-81EA-F228E005EF9A}">
  <dimension ref="A1:D55"/>
  <sheetViews>
    <sheetView workbookViewId="0"/>
  </sheetViews>
  <sheetFormatPr defaultRowHeight="14.25"/>
  <cols>
    <col min="1" max="5" width="24.625" customWidth="1"/>
  </cols>
  <sheetData>
    <row r="1" spans="1:4" ht="20.25">
      <c r="A1" s="7" t="s">
        <v>15</v>
      </c>
    </row>
    <row r="2" spans="1:4">
      <c r="A2" t="s">
        <v>16</v>
      </c>
    </row>
    <row r="5" spans="1:4">
      <c r="A5" s="8" t="s">
        <v>17</v>
      </c>
      <c r="B5" t="s">
        <v>19</v>
      </c>
      <c r="C5" t="s">
        <v>20</v>
      </c>
      <c r="D5" t="s">
        <v>21</v>
      </c>
    </row>
    <row r="6" spans="1:4">
      <c r="A6" s="9">
        <v>1976</v>
      </c>
      <c r="B6" s="10">
        <v>1005.2</v>
      </c>
      <c r="C6" s="10">
        <v>1233.2</v>
      </c>
      <c r="D6" s="10">
        <v>63.610999999999997</v>
      </c>
    </row>
    <row r="7" spans="1:4">
      <c r="A7" s="9">
        <v>1977</v>
      </c>
      <c r="B7" s="10">
        <v>1056.2</v>
      </c>
      <c r="C7" s="10">
        <v>1161.4000000000001</v>
      </c>
      <c r="D7" s="10">
        <v>59.29</v>
      </c>
    </row>
    <row r="8" spans="1:4">
      <c r="A8" s="9">
        <v>1978</v>
      </c>
      <c r="B8" s="10">
        <v>1035.5</v>
      </c>
      <c r="C8" s="10">
        <v>1218.7</v>
      </c>
      <c r="D8" s="10">
        <v>61.886000000000003</v>
      </c>
    </row>
    <row r="9" spans="1:4">
      <c r="A9" s="9">
        <v>1979</v>
      </c>
      <c r="B9" s="10">
        <v>1065</v>
      </c>
      <c r="C9" s="10">
        <v>1887.9</v>
      </c>
      <c r="D9" s="10">
        <v>89.83</v>
      </c>
    </row>
    <row r="10" spans="1:4">
      <c r="A10" s="9">
        <v>1980</v>
      </c>
      <c r="B10" s="10">
        <v>1074.5999999999999</v>
      </c>
      <c r="C10" s="10">
        <v>2124.6999999999998</v>
      </c>
      <c r="D10" s="10">
        <v>99.174000000000007</v>
      </c>
    </row>
    <row r="11" spans="1:4">
      <c r="A11" s="9">
        <v>1981</v>
      </c>
      <c r="B11" s="10">
        <v>1081.0999999999999</v>
      </c>
      <c r="C11" s="10">
        <v>1737.8</v>
      </c>
      <c r="D11" s="10">
        <v>78.948999999999998</v>
      </c>
    </row>
    <row r="12" spans="1:4">
      <c r="A12" s="9">
        <v>1982</v>
      </c>
      <c r="B12" s="10">
        <v>1240.7</v>
      </c>
      <c r="C12" s="10">
        <v>1684.6</v>
      </c>
      <c r="D12" s="10">
        <v>67.057000000000002</v>
      </c>
    </row>
    <row r="13" spans="1:4">
      <c r="A13" s="9">
        <v>1983</v>
      </c>
      <c r="B13" s="10">
        <v>1257.2</v>
      </c>
      <c r="C13" s="10">
        <v>1874.9</v>
      </c>
      <c r="D13" s="10">
        <v>72.173000000000002</v>
      </c>
    </row>
    <row r="14" spans="1:4">
      <c r="A14" s="9">
        <v>1984</v>
      </c>
      <c r="B14" s="10">
        <v>1290</v>
      </c>
      <c r="C14" s="10">
        <v>1603.9</v>
      </c>
      <c r="D14" s="10">
        <v>62.448999999999998</v>
      </c>
    </row>
    <row r="15" spans="1:4">
      <c r="A15" s="9">
        <v>1985</v>
      </c>
      <c r="B15" s="10">
        <v>1356</v>
      </c>
      <c r="C15" s="10">
        <v>1788.7</v>
      </c>
      <c r="D15" s="10">
        <v>64.281000000000006</v>
      </c>
    </row>
    <row r="16" spans="1:4">
      <c r="A16" s="9">
        <v>1986</v>
      </c>
      <c r="B16" s="10">
        <v>1401.1</v>
      </c>
      <c r="C16" s="10">
        <v>1757.1</v>
      </c>
      <c r="D16" s="10">
        <v>62.286999999999999</v>
      </c>
    </row>
    <row r="17" spans="1:4">
      <c r="A17" s="9">
        <v>1987</v>
      </c>
      <c r="B17" s="10">
        <v>1418.3</v>
      </c>
      <c r="C17" s="10">
        <v>2234.6999999999998</v>
      </c>
      <c r="D17" s="10">
        <v>81.085999999999999</v>
      </c>
    </row>
    <row r="18" spans="1:4">
      <c r="A18" s="9">
        <v>1988</v>
      </c>
      <c r="B18" s="10">
        <v>1451</v>
      </c>
      <c r="C18" s="10">
        <v>3416.2</v>
      </c>
      <c r="D18" s="10">
        <v>117.937</v>
      </c>
    </row>
    <row r="19" spans="1:4">
      <c r="A19" s="9">
        <v>1989</v>
      </c>
      <c r="B19" s="10">
        <v>1609.3</v>
      </c>
      <c r="C19" s="10">
        <v>4021.4</v>
      </c>
      <c r="D19" s="10">
        <v>129.113</v>
      </c>
    </row>
    <row r="20" spans="1:4">
      <c r="A20" s="9">
        <v>1990</v>
      </c>
      <c r="B20" s="10">
        <v>1588.4</v>
      </c>
      <c r="C20" s="10">
        <v>3810.2</v>
      </c>
      <c r="D20" s="10">
        <v>120.879</v>
      </c>
    </row>
    <row r="21" spans="1:4">
      <c r="A21" s="9">
        <v>1991</v>
      </c>
      <c r="B21" s="10">
        <v>1814.3</v>
      </c>
      <c r="C21" s="10">
        <v>3617.3</v>
      </c>
      <c r="D21" s="10">
        <v>106.066</v>
      </c>
    </row>
    <row r="22" spans="1:4">
      <c r="A22" s="9">
        <v>1992</v>
      </c>
      <c r="B22" s="10">
        <v>1932.7</v>
      </c>
      <c r="C22" s="10">
        <v>3886</v>
      </c>
      <c r="D22" s="10">
        <v>103.57299999999999</v>
      </c>
    </row>
    <row r="23" spans="1:4">
      <c r="A23" s="9">
        <v>1993</v>
      </c>
      <c r="B23" s="10">
        <v>2055.4</v>
      </c>
      <c r="C23" s="10">
        <v>3247.8</v>
      </c>
      <c r="D23" s="10">
        <v>86.712999999999994</v>
      </c>
    </row>
    <row r="24" spans="1:4">
      <c r="A24" s="9">
        <v>1994</v>
      </c>
      <c r="B24" s="10">
        <v>2219.9</v>
      </c>
      <c r="C24" s="10">
        <v>4242</v>
      </c>
      <c r="D24" s="10">
        <v>104.90300000000001</v>
      </c>
    </row>
    <row r="25" spans="1:4">
      <c r="A25" s="9">
        <v>1995</v>
      </c>
      <c r="B25" s="10">
        <v>2488.6</v>
      </c>
      <c r="C25" s="10">
        <v>6487.1</v>
      </c>
      <c r="D25" s="10">
        <v>133.19800000000001</v>
      </c>
    </row>
    <row r="26" spans="1:4">
      <c r="A26" s="9">
        <v>1996</v>
      </c>
      <c r="B26" s="10">
        <v>3115.8</v>
      </c>
      <c r="C26" s="10">
        <v>5838.5</v>
      </c>
      <c r="D26" s="10">
        <v>103.89400000000001</v>
      </c>
    </row>
    <row r="27" spans="1:4">
      <c r="A27" s="9">
        <v>1997</v>
      </c>
      <c r="B27" s="10">
        <v>3392</v>
      </c>
      <c r="C27" s="10">
        <v>6851</v>
      </c>
      <c r="D27" s="10">
        <v>103.224</v>
      </c>
    </row>
    <row r="28" spans="1:4">
      <c r="A28" s="9">
        <v>1998</v>
      </c>
      <c r="B28" s="10">
        <v>3686.9</v>
      </c>
      <c r="C28" s="10">
        <v>5323.7</v>
      </c>
      <c r="D28" s="10">
        <v>74.974000000000004</v>
      </c>
    </row>
    <row r="29" spans="1:4">
      <c r="A29" s="9">
        <v>1999</v>
      </c>
      <c r="B29" s="10">
        <v>4391.2</v>
      </c>
      <c r="C29" s="10">
        <v>6163.8</v>
      </c>
      <c r="D29" s="10">
        <v>71.38</v>
      </c>
    </row>
    <row r="30" spans="1:4">
      <c r="A30" s="9">
        <v>2000</v>
      </c>
      <c r="B30" s="10">
        <v>4602</v>
      </c>
      <c r="C30" s="10">
        <v>7286.3</v>
      </c>
      <c r="D30" s="10">
        <v>82.293999999999997</v>
      </c>
    </row>
    <row r="31" spans="1:4">
      <c r="A31" s="9">
        <v>2001</v>
      </c>
      <c r="B31" s="10">
        <v>4739</v>
      </c>
      <c r="C31" s="10">
        <v>6525.9</v>
      </c>
      <c r="D31" s="10">
        <v>71.566000000000003</v>
      </c>
    </row>
    <row r="32" spans="1:4">
      <c r="A32" s="9">
        <v>2002</v>
      </c>
      <c r="B32" s="10">
        <v>4580.6000000000004</v>
      </c>
      <c r="C32" s="10">
        <v>6279.3</v>
      </c>
      <c r="D32" s="10">
        <v>70.647000000000006</v>
      </c>
    </row>
    <row r="33" spans="1:4">
      <c r="A33" s="9">
        <v>2003</v>
      </c>
      <c r="B33" s="10">
        <v>4904.2</v>
      </c>
      <c r="C33" s="10">
        <v>7998.8310346300004</v>
      </c>
      <c r="D33" s="10">
        <v>80.733999999999995</v>
      </c>
    </row>
    <row r="34" spans="1:4">
      <c r="A34" s="9">
        <v>2004</v>
      </c>
      <c r="B34" s="10">
        <v>5412.5</v>
      </c>
      <c r="C34" s="10">
        <v>15392.115263350001</v>
      </c>
      <c r="D34" s="10">
        <v>130.10599999999999</v>
      </c>
    </row>
    <row r="35" spans="1:4">
      <c r="A35" s="9">
        <v>2005</v>
      </c>
      <c r="B35" s="10">
        <v>5320.5</v>
      </c>
      <c r="C35" s="10">
        <v>19911.68966426</v>
      </c>
      <c r="D35" s="10">
        <v>167.08699999999999</v>
      </c>
    </row>
    <row r="36" spans="1:4">
      <c r="A36" s="9">
        <v>2006</v>
      </c>
      <c r="B36" s="10">
        <v>5360.8</v>
      </c>
      <c r="C36" s="10">
        <v>33990.187855509997</v>
      </c>
      <c r="D36" s="10">
        <v>305.29500000000002</v>
      </c>
    </row>
    <row r="37" spans="1:4">
      <c r="A37" s="9">
        <v>2007</v>
      </c>
      <c r="B37" s="10">
        <v>5557</v>
      </c>
      <c r="C37" s="10">
        <v>39145.892674759998</v>
      </c>
      <c r="D37" s="10">
        <v>323.24599999999998</v>
      </c>
    </row>
    <row r="38" spans="1:4">
      <c r="A38" s="9">
        <v>2008</v>
      </c>
      <c r="B38" s="10">
        <v>5327.6</v>
      </c>
      <c r="C38" s="10">
        <v>31688.055242779999</v>
      </c>
      <c r="D38" s="10">
        <v>315.31599999999997</v>
      </c>
    </row>
    <row r="39" spans="1:4">
      <c r="A39" s="9">
        <v>2009</v>
      </c>
      <c r="B39" s="10">
        <v>5394.4</v>
      </c>
      <c r="C39" s="10">
        <v>29637.317410799998</v>
      </c>
      <c r="D39" s="10">
        <v>234.21700000000001</v>
      </c>
    </row>
    <row r="40" spans="1:4">
      <c r="A40" s="9">
        <v>2010</v>
      </c>
      <c r="B40" s="10">
        <v>5418.9</v>
      </c>
      <c r="C40" s="10">
        <v>41285.929052738</v>
      </c>
      <c r="D40" s="10">
        <v>341.97800000000001</v>
      </c>
    </row>
    <row r="41" spans="1:4">
      <c r="A41" s="9">
        <v>2011</v>
      </c>
      <c r="B41" s="10">
        <v>5262.8</v>
      </c>
      <c r="C41" s="10">
        <v>44624.651059409996</v>
      </c>
      <c r="D41" s="10">
        <v>399.65600000000001</v>
      </c>
    </row>
    <row r="42" spans="1:4">
      <c r="A42" s="9">
        <v>2012</v>
      </c>
      <c r="B42" s="10">
        <v>5433.9</v>
      </c>
      <c r="C42" s="10">
        <v>41906.064698000002</v>
      </c>
      <c r="D42" s="10">
        <v>360.59300000000002</v>
      </c>
    </row>
    <row r="43" spans="1:4">
      <c r="A43" s="9">
        <v>2013</v>
      </c>
      <c r="B43" s="10">
        <v>5776</v>
      </c>
      <c r="C43" s="10">
        <v>39891.466376046999</v>
      </c>
      <c r="D43" s="10">
        <v>332.12</v>
      </c>
    </row>
    <row r="44" spans="1:4">
      <c r="A44" s="9">
        <v>2014</v>
      </c>
      <c r="B44" s="10">
        <v>5761.1</v>
      </c>
      <c r="C44" s="10">
        <v>37256.686709900001</v>
      </c>
      <c r="D44" s="10">
        <v>311.255</v>
      </c>
    </row>
    <row r="45" spans="1:4">
      <c r="A45" s="9">
        <v>2015</v>
      </c>
      <c r="B45" s="10">
        <v>5772.1</v>
      </c>
      <c r="C45" s="10">
        <v>29935.4678184984</v>
      </c>
      <c r="D45" s="10">
        <v>249.226</v>
      </c>
    </row>
    <row r="46" spans="1:4">
      <c r="A46" s="9">
        <v>2016</v>
      </c>
      <c r="B46" s="10">
        <v>5552.6</v>
      </c>
      <c r="C46" s="10">
        <v>27926.969159</v>
      </c>
      <c r="D46" s="10">
        <v>220.56299999999999</v>
      </c>
    </row>
    <row r="47" spans="1:4">
      <c r="A47" s="9">
        <v>2017</v>
      </c>
      <c r="B47" s="10">
        <v>5503.5</v>
      </c>
      <c r="C47" s="10">
        <v>34000.920585056003</v>
      </c>
      <c r="D47" s="10">
        <v>279.68400000000003</v>
      </c>
    </row>
    <row r="48" spans="1:4">
      <c r="A48" s="9">
        <v>2018</v>
      </c>
      <c r="B48" s="10">
        <v>5831.6</v>
      </c>
      <c r="C48" s="10">
        <v>35605.196758263497</v>
      </c>
      <c r="D48" s="10">
        <v>295.88</v>
      </c>
    </row>
    <row r="49" spans="1:4">
      <c r="A49" s="9">
        <v>2019</v>
      </c>
      <c r="B49" s="10">
        <v>5787.4</v>
      </c>
      <c r="C49" s="10">
        <v>32572.9287244722</v>
      </c>
      <c r="D49" s="10">
        <v>272.14299999999997</v>
      </c>
    </row>
    <row r="50" spans="1:4">
      <c r="A50" s="9">
        <v>2020</v>
      </c>
      <c r="B50" s="10">
        <v>5733.1</v>
      </c>
      <c r="C50" s="10">
        <v>38467.243152433599</v>
      </c>
      <c r="D50" s="10">
        <v>280.34899999999999</v>
      </c>
    </row>
    <row r="51" spans="1:4">
      <c r="A51" s="9">
        <v>2021</v>
      </c>
      <c r="B51" s="10">
        <v>5624.9</v>
      </c>
      <c r="C51" s="10">
        <v>52535.810565252599</v>
      </c>
      <c r="D51" s="10">
        <v>422.63400000000001</v>
      </c>
    </row>
    <row r="52" spans="1:4">
      <c r="A52" s="9">
        <v>2022</v>
      </c>
      <c r="B52" s="10">
        <v>5328.3</v>
      </c>
      <c r="C52" s="10">
        <v>43780.272023400001</v>
      </c>
      <c r="D52" s="10">
        <v>399.02600000000001</v>
      </c>
    </row>
    <row r="53" spans="1:4">
      <c r="A53" s="9">
        <v>2023</v>
      </c>
      <c r="B53" s="10">
        <v>5250.4</v>
      </c>
      <c r="C53" s="10">
        <v>42603.761320199999</v>
      </c>
      <c r="D53" s="10">
        <v>384.54500000000002</v>
      </c>
    </row>
    <row r="54" spans="1:4">
      <c r="A54" s="9">
        <v>2024</v>
      </c>
      <c r="B54" s="10">
        <v>5505.9</v>
      </c>
      <c r="C54" s="10">
        <v>49708.369220200002</v>
      </c>
      <c r="D54" s="10">
        <v>414.89100000000002</v>
      </c>
    </row>
    <row r="55" spans="1:4">
      <c r="A55" s="9" t="s">
        <v>18</v>
      </c>
      <c r="B55" s="10">
        <v>178767.49999999997</v>
      </c>
      <c r="C55" s="10">
        <v>867169.92636896134</v>
      </c>
      <c r="D55" s="10">
        <v>180.87710204081631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0"/>
  <sheetViews>
    <sheetView showGridLines="0" tabSelected="1" zoomScale="80" zoomScaleNormal="80" workbookViewId="0"/>
  </sheetViews>
  <sheetFormatPr defaultRowHeight="14.25"/>
  <cols>
    <col min="1" max="14" width="14" customWidth="1"/>
  </cols>
  <sheetData>
    <row r="1" spans="1: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1.75">
      <c r="A2" s="1"/>
      <c r="B2" s="4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>
      <c r="A4" s="1"/>
      <c r="B4" s="1" t="s">
        <v>1</v>
      </c>
      <c r="C4" s="1"/>
      <c r="D4" s="1"/>
      <c r="E4" s="1" t="s">
        <v>2</v>
      </c>
      <c r="F4" s="1"/>
      <c r="G4" s="1"/>
      <c r="H4" s="1" t="s">
        <v>3</v>
      </c>
      <c r="I4" s="1"/>
      <c r="J4" s="1"/>
      <c r="K4" s="1"/>
      <c r="L4" s="1"/>
      <c r="M4" s="1"/>
      <c r="N4" s="1"/>
    </row>
    <row r="5" spans="1:14" ht="21.75">
      <c r="A5" s="1"/>
      <c r="B5" s="5">
        <f>Data!B50</f>
        <v>5505.9</v>
      </c>
      <c r="C5" s="1"/>
      <c r="D5" s="1"/>
      <c r="E5" s="5">
        <f>Data!D50</f>
        <v>49708.369220200002</v>
      </c>
      <c r="F5" s="1"/>
      <c r="G5" s="1"/>
      <c r="H5" s="5">
        <f>Data!C50</f>
        <v>414.89100000000002</v>
      </c>
      <c r="I5" s="1"/>
      <c r="J5" s="1"/>
      <c r="K5" s="1"/>
      <c r="L5" s="1"/>
      <c r="M5" s="1"/>
      <c r="N5" s="1"/>
    </row>
    <row r="6" spans="1:1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>
      <c r="A7" s="1"/>
      <c r="B7" s="6" t="s">
        <v>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 t="s">
        <v>5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>
      <c r="A31" s="1"/>
      <c r="B31" s="1" t="s">
        <v>6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0"/>
  <sheetViews>
    <sheetView showGridLines="0" workbookViewId="0"/>
  </sheetViews>
  <sheetFormatPr defaultRowHeight="14.25"/>
  <cols>
    <col min="1" max="2" width="27" customWidth="1"/>
    <col min="3" max="14" width="14" customWidth="1"/>
  </cols>
  <sheetData>
    <row r="1" spans="1:14" ht="15">
      <c r="A1" s="2" t="s">
        <v>7</v>
      </c>
      <c r="B1" s="2" t="s">
        <v>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>
        <v>1976</v>
      </c>
      <c r="B2" s="1">
        <f>SUMIFS(Data!$B$2:$B$50,Data!$A$2:$A$50,A2)</f>
        <v>1005.2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>
      <c r="A3" s="1">
        <v>1977</v>
      </c>
      <c r="B3" s="1">
        <f>SUMIFS(Data!$B$2:$B$50,Data!$A$2:$A$50,A3)</f>
        <v>1056.2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>
      <c r="A4" s="1">
        <v>1978</v>
      </c>
      <c r="B4" s="1">
        <f>SUMIFS(Data!$B$2:$B$50,Data!$A$2:$A$50,A4)</f>
        <v>1035.5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>
      <c r="A5" s="1">
        <v>1979</v>
      </c>
      <c r="B5" s="1">
        <f>SUMIFS(Data!$B$2:$B$50,Data!$A$2:$A$50,A5)</f>
        <v>1065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>
      <c r="A6" s="1">
        <v>1980</v>
      </c>
      <c r="B6" s="1">
        <f>SUMIFS(Data!$B$2:$B$50,Data!$A$2:$A$50,A6)</f>
        <v>1074.5999999999999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>
      <c r="A7" s="1">
        <v>1981</v>
      </c>
      <c r="B7" s="1">
        <f>SUMIFS(Data!$B$2:$B$50,Data!$A$2:$A$50,A7)</f>
        <v>1081.0999999999999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>
      <c r="A8" s="1">
        <v>1982</v>
      </c>
      <c r="B8" s="1">
        <f>SUMIFS(Data!$B$2:$B$50,Data!$A$2:$A$50,A8)</f>
        <v>1240.7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>
      <c r="A9" s="1">
        <v>1983</v>
      </c>
      <c r="B9" s="1">
        <f>SUMIFS(Data!$B$2:$B$50,Data!$A$2:$A$50,A9)</f>
        <v>1257.2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>
      <c r="A10" s="1">
        <v>1984</v>
      </c>
      <c r="B10" s="1">
        <f>SUMIFS(Data!$B$2:$B$50,Data!$A$2:$A$50,A10)</f>
        <v>1290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>
      <c r="A11" s="1">
        <v>1985</v>
      </c>
      <c r="B11" s="1">
        <f>SUMIFS(Data!$B$2:$B$50,Data!$A$2:$A$50,A11)</f>
        <v>1356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>
      <c r="A12" s="1">
        <v>1986</v>
      </c>
      <c r="B12" s="1">
        <f>SUMIFS(Data!$B$2:$B$50,Data!$A$2:$A$50,A12)</f>
        <v>1401.1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>
      <c r="A13" s="1">
        <v>1987</v>
      </c>
      <c r="B13" s="1">
        <f>SUMIFS(Data!$B$2:$B$50,Data!$A$2:$A$50,A13)</f>
        <v>1418.3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>
      <c r="A14" s="1">
        <v>1988</v>
      </c>
      <c r="B14" s="1">
        <f>SUMIFS(Data!$B$2:$B$50,Data!$A$2:$A$50,A14)</f>
        <v>1451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>
      <c r="A15" s="1">
        <v>1989</v>
      </c>
      <c r="B15" s="1">
        <f>SUMIFS(Data!$B$2:$B$50,Data!$A$2:$A$50,A15)</f>
        <v>1609.3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>
      <c r="A16" s="1">
        <v>1990</v>
      </c>
      <c r="B16" s="1">
        <f>SUMIFS(Data!$B$2:$B$50,Data!$A$2:$A$50,A16)</f>
        <v>1588.4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>
      <c r="A17" s="1">
        <v>1991</v>
      </c>
      <c r="B17" s="1">
        <f>SUMIFS(Data!$B$2:$B$50,Data!$A$2:$A$50,A17)</f>
        <v>1814.3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>
      <c r="A18" s="1">
        <v>1992</v>
      </c>
      <c r="B18" s="1">
        <f>SUMIFS(Data!$B$2:$B$50,Data!$A$2:$A$50,A18)</f>
        <v>1932.7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>
      <c r="A19" s="1">
        <v>1993</v>
      </c>
      <c r="B19" s="1">
        <f>SUMIFS(Data!$B$2:$B$50,Data!$A$2:$A$50,A19)</f>
        <v>2055.4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>
      <c r="A20" s="1">
        <v>1994</v>
      </c>
      <c r="B20" s="1">
        <f>SUMIFS(Data!$B$2:$B$50,Data!$A$2:$A$50,A20)</f>
        <v>2219.9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>
      <c r="A21" s="1">
        <v>1995</v>
      </c>
      <c r="B21" s="1">
        <f>SUMIFS(Data!$B$2:$B$50,Data!$A$2:$A$50,A21)</f>
        <v>2488.6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>
      <c r="A22" s="1">
        <v>1996</v>
      </c>
      <c r="B22" s="1">
        <f>SUMIFS(Data!$B$2:$B$50,Data!$A$2:$A$50,A22)</f>
        <v>3115.8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>
      <c r="A23" s="1">
        <v>1997</v>
      </c>
      <c r="B23" s="1">
        <f>SUMIFS(Data!$B$2:$B$50,Data!$A$2:$A$50,A23)</f>
        <v>3392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>
      <c r="A24" s="1">
        <v>1998</v>
      </c>
      <c r="B24" s="1">
        <f>SUMIFS(Data!$B$2:$B$50,Data!$A$2:$A$50,A24)</f>
        <v>3686.9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>
      <c r="A25" s="1">
        <v>1999</v>
      </c>
      <c r="B25" s="1">
        <f>SUMIFS(Data!$B$2:$B$50,Data!$A$2:$A$50,A25)</f>
        <v>4391.2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>
      <c r="A26" s="1">
        <v>2000</v>
      </c>
      <c r="B26" s="1">
        <f>SUMIFS(Data!$B$2:$B$50,Data!$A$2:$A$50,A26)</f>
        <v>4602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>
      <c r="A27" s="1">
        <v>2001</v>
      </c>
      <c r="B27" s="1">
        <f>SUMIFS(Data!$B$2:$B$50,Data!$A$2:$A$50,A27)</f>
        <v>4739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>
      <c r="A28" s="1">
        <v>2002</v>
      </c>
      <c r="B28" s="1">
        <f>SUMIFS(Data!$B$2:$B$50,Data!$A$2:$A$50,A28)</f>
        <v>4580.6000000000004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>
      <c r="A29" s="1">
        <v>2003</v>
      </c>
      <c r="B29" s="1">
        <f>SUMIFS(Data!$B$2:$B$50,Data!$A$2:$A$50,A29)</f>
        <v>4904.2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>
      <c r="A30" s="1">
        <v>2004</v>
      </c>
      <c r="B30" s="1">
        <f>SUMIFS(Data!$B$2:$B$50,Data!$A$2:$A$50,A30)</f>
        <v>5412.5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>
      <c r="A31" s="1">
        <v>2005</v>
      </c>
      <c r="B31" s="1">
        <f>SUMIFS(Data!$B$2:$B$50,Data!$A$2:$A$50,A31)</f>
        <v>5320.5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>
      <c r="A32" s="1">
        <v>2006</v>
      </c>
      <c r="B32" s="1">
        <f>SUMIFS(Data!$B$2:$B$50,Data!$A$2:$A$50,A32)</f>
        <v>5360.8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>
      <c r="A33" s="1">
        <v>2007</v>
      </c>
      <c r="B33" s="1">
        <f>SUMIFS(Data!$B$2:$B$50,Data!$A$2:$A$50,A33)</f>
        <v>5557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>
      <c r="A34" s="1">
        <v>2008</v>
      </c>
      <c r="B34" s="1">
        <f>SUMIFS(Data!$B$2:$B$50,Data!$A$2:$A$50,A34)</f>
        <v>5327.6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A35" s="1">
        <v>2009</v>
      </c>
      <c r="B35" s="1">
        <f>SUMIFS(Data!$B$2:$B$50,Data!$A$2:$A$50,A35)</f>
        <v>5394.4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>
      <c r="A36" s="1">
        <v>2010</v>
      </c>
      <c r="B36" s="1">
        <f>SUMIFS(Data!$B$2:$B$50,Data!$A$2:$A$50,A36)</f>
        <v>5418.9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>
      <c r="A37" s="1">
        <v>2011</v>
      </c>
      <c r="B37" s="1">
        <f>SUMIFS(Data!$B$2:$B$50,Data!$A$2:$A$50,A37)</f>
        <v>5262.8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>
      <c r="A38" s="1">
        <v>2012</v>
      </c>
      <c r="B38" s="1">
        <f>SUMIFS(Data!$B$2:$B$50,Data!$A$2:$A$50,A38)</f>
        <v>5433.9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>
      <c r="A39" s="1">
        <v>2013</v>
      </c>
      <c r="B39" s="1">
        <f>SUMIFS(Data!$B$2:$B$50,Data!$A$2:$A$50,A39)</f>
        <v>5776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>
      <c r="A40" s="1">
        <v>2014</v>
      </c>
      <c r="B40" s="1">
        <f>SUMIFS(Data!$B$2:$B$50,Data!$A$2:$A$50,A40)</f>
        <v>5761.1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A41" s="1">
        <v>2015</v>
      </c>
      <c r="B41" s="1">
        <f>SUMIFS(Data!$B$2:$B$50,Data!$A$2:$A$50,A41)</f>
        <v>5772.1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A42" s="1">
        <v>2016</v>
      </c>
      <c r="B42" s="1">
        <f>SUMIFS(Data!$B$2:$B$50,Data!$A$2:$A$50,A42)</f>
        <v>5552.6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A43" s="1">
        <v>2017</v>
      </c>
      <c r="B43" s="1">
        <f>SUMIFS(Data!$B$2:$B$50,Data!$A$2:$A$50,A43)</f>
        <v>5503.5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>
      <c r="A44" s="1">
        <v>2018</v>
      </c>
      <c r="B44" s="1">
        <f>SUMIFS(Data!$B$2:$B$50,Data!$A$2:$A$50,A44)</f>
        <v>5831.6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>
      <c r="A45" s="1">
        <v>2019</v>
      </c>
      <c r="B45" s="1">
        <f>SUMIFS(Data!$B$2:$B$50,Data!$A$2:$A$50,A45)</f>
        <v>5787.4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>
      <c r="A46" s="1">
        <v>2020</v>
      </c>
      <c r="B46" s="1">
        <f>SUMIFS(Data!$B$2:$B$50,Data!$A$2:$A$50,A46)</f>
        <v>5733.1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>
      <c r="A47" s="1">
        <v>2021</v>
      </c>
      <c r="B47" s="1">
        <f>SUMIFS(Data!$B$2:$B$50,Data!$A$2:$A$50,A47)</f>
        <v>5624.9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>
      <c r="A48" s="1">
        <v>2022</v>
      </c>
      <c r="B48" s="1">
        <f>SUMIFS(Data!$B$2:$B$50,Data!$A$2:$A$50,A48)</f>
        <v>5328.3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>
      <c r="A49" s="1">
        <v>2023</v>
      </c>
      <c r="B49" s="1">
        <f>SUMIFS(Data!$B$2:$B$50,Data!$A$2:$A$50,A49)</f>
        <v>5250.4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>
      <c r="A50" s="1">
        <v>2024</v>
      </c>
      <c r="B50" s="1">
        <f>SUMIFS(Data!$B$2:$B$50,Data!$A$2:$A$50,A50)</f>
        <v>5505.9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0"/>
  <sheetViews>
    <sheetView showGridLines="0" workbookViewId="0">
      <pane ySplit="1" topLeftCell="A2" activePane="bottomLeft" state="frozen"/>
      <selection pane="bottomLeft"/>
    </sheetView>
  </sheetViews>
  <sheetFormatPr defaultRowHeight="14.25"/>
  <cols>
    <col min="1" max="4" width="23" customWidth="1"/>
    <col min="5" max="5" width="14" customWidth="1"/>
    <col min="6" max="6" width="100" customWidth="1"/>
    <col min="7" max="14" width="14" customWidth="1"/>
  </cols>
  <sheetData>
    <row r="1" spans="1:14" ht="15">
      <c r="A1" s="2" t="s">
        <v>9</v>
      </c>
      <c r="B1" s="2" t="s">
        <v>10</v>
      </c>
      <c r="C1" s="2" t="s">
        <v>11</v>
      </c>
      <c r="D1" s="2" t="s">
        <v>12</v>
      </c>
      <c r="E1" s="1"/>
      <c r="F1" s="1" t="s">
        <v>13</v>
      </c>
      <c r="G1" s="1"/>
      <c r="H1" s="1"/>
      <c r="I1" s="1"/>
      <c r="J1" s="1"/>
      <c r="K1" s="1"/>
      <c r="L1" s="1"/>
      <c r="M1" s="1"/>
      <c r="N1" s="1"/>
    </row>
    <row r="2" spans="1:14">
      <c r="A2" s="1">
        <v>1976</v>
      </c>
      <c r="B2" s="3">
        <v>1005.2</v>
      </c>
      <c r="C2" s="3">
        <v>63.610999999999997</v>
      </c>
      <c r="D2" s="3">
        <v>1233.2</v>
      </c>
      <c r="E2" s="1"/>
      <c r="F2" s="1" t="s">
        <v>14</v>
      </c>
      <c r="G2" s="1"/>
      <c r="H2" s="1"/>
      <c r="I2" s="1"/>
      <c r="J2" s="1"/>
      <c r="K2" s="1"/>
      <c r="L2" s="1"/>
      <c r="M2" s="1"/>
      <c r="N2" s="1"/>
    </row>
    <row r="3" spans="1:14">
      <c r="A3" s="1">
        <v>1977</v>
      </c>
      <c r="B3" s="3">
        <v>1056.2</v>
      </c>
      <c r="C3" s="3">
        <v>59.29</v>
      </c>
      <c r="D3" s="3">
        <v>1161.4000000000001</v>
      </c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>
      <c r="A4" s="1">
        <v>1978</v>
      </c>
      <c r="B4" s="3">
        <v>1035.5</v>
      </c>
      <c r="C4" s="3">
        <v>61.886000000000003</v>
      </c>
      <c r="D4" s="3">
        <v>1218.7</v>
      </c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>
      <c r="A5" s="1">
        <v>1979</v>
      </c>
      <c r="B5" s="3">
        <v>1065</v>
      </c>
      <c r="C5" s="3">
        <v>89.83</v>
      </c>
      <c r="D5" s="3">
        <v>1887.9</v>
      </c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>
      <c r="A6" s="1">
        <v>1980</v>
      </c>
      <c r="B6" s="3">
        <v>1074.5999999999999</v>
      </c>
      <c r="C6" s="3">
        <v>99.174000000000007</v>
      </c>
      <c r="D6" s="3">
        <v>2124.6999999999998</v>
      </c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>
      <c r="A7" s="1">
        <v>1981</v>
      </c>
      <c r="B7" s="3">
        <v>1081.0999999999999</v>
      </c>
      <c r="C7" s="3">
        <v>78.948999999999998</v>
      </c>
      <c r="D7" s="3">
        <v>1737.8</v>
      </c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>
      <c r="A8" s="1">
        <v>1982</v>
      </c>
      <c r="B8" s="3">
        <v>1240.7</v>
      </c>
      <c r="C8" s="3">
        <v>67.057000000000002</v>
      </c>
      <c r="D8" s="3">
        <v>1684.6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>
      <c r="A9" s="1">
        <v>1983</v>
      </c>
      <c r="B9" s="3">
        <v>1257.2</v>
      </c>
      <c r="C9" s="3">
        <v>72.173000000000002</v>
      </c>
      <c r="D9" s="3">
        <v>1874.9</v>
      </c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>
      <c r="A10" s="1">
        <v>1984</v>
      </c>
      <c r="B10" s="3">
        <v>1290</v>
      </c>
      <c r="C10" s="3">
        <v>62.448999999999998</v>
      </c>
      <c r="D10" s="3">
        <v>1603.9</v>
      </c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>
      <c r="A11" s="1">
        <v>1985</v>
      </c>
      <c r="B11" s="3">
        <v>1356</v>
      </c>
      <c r="C11" s="3">
        <v>64.281000000000006</v>
      </c>
      <c r="D11" s="3">
        <v>1788.7</v>
      </c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>
      <c r="A12" s="1">
        <v>1986</v>
      </c>
      <c r="B12" s="3">
        <v>1401.1</v>
      </c>
      <c r="C12" s="3">
        <v>62.286999999999999</v>
      </c>
      <c r="D12" s="3">
        <v>1757.1</v>
      </c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>
      <c r="A13" s="1">
        <v>1987</v>
      </c>
      <c r="B13" s="3">
        <v>1418.3</v>
      </c>
      <c r="C13" s="3">
        <v>81.085999999999999</v>
      </c>
      <c r="D13" s="3">
        <v>2234.6999999999998</v>
      </c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>
      <c r="A14" s="1">
        <v>1988</v>
      </c>
      <c r="B14" s="3">
        <v>1451</v>
      </c>
      <c r="C14" s="3">
        <v>117.937</v>
      </c>
      <c r="D14" s="3">
        <v>3416.2</v>
      </c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>
      <c r="A15" s="1">
        <v>1989</v>
      </c>
      <c r="B15" s="3">
        <v>1609.3</v>
      </c>
      <c r="C15" s="3">
        <v>129.113</v>
      </c>
      <c r="D15" s="3">
        <v>4021.4</v>
      </c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>
      <c r="A16" s="1">
        <v>1990</v>
      </c>
      <c r="B16" s="3">
        <v>1588.4</v>
      </c>
      <c r="C16" s="3">
        <v>120.879</v>
      </c>
      <c r="D16" s="3">
        <v>3810.2</v>
      </c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>
      <c r="A17" s="1">
        <v>1991</v>
      </c>
      <c r="B17" s="3">
        <v>1814.3</v>
      </c>
      <c r="C17" s="3">
        <v>106.066</v>
      </c>
      <c r="D17" s="3">
        <v>3617.3</v>
      </c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>
      <c r="A18" s="1">
        <v>1992</v>
      </c>
      <c r="B18" s="3">
        <v>1932.7</v>
      </c>
      <c r="C18" s="3">
        <v>103.57299999999999</v>
      </c>
      <c r="D18" s="3">
        <v>3886</v>
      </c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>
      <c r="A19" s="1">
        <v>1993</v>
      </c>
      <c r="B19" s="3">
        <v>2055.4</v>
      </c>
      <c r="C19" s="3">
        <v>86.712999999999994</v>
      </c>
      <c r="D19" s="3">
        <v>3247.8</v>
      </c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>
      <c r="A20" s="1">
        <v>1994</v>
      </c>
      <c r="B20" s="3">
        <v>2219.9</v>
      </c>
      <c r="C20" s="3">
        <v>104.90300000000001</v>
      </c>
      <c r="D20" s="3">
        <v>4242</v>
      </c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>
      <c r="A21" s="1">
        <v>1995</v>
      </c>
      <c r="B21" s="3">
        <v>2488.6</v>
      </c>
      <c r="C21" s="3">
        <v>133.19800000000001</v>
      </c>
      <c r="D21" s="3">
        <v>6487.1</v>
      </c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>
      <c r="A22" s="1">
        <v>1996</v>
      </c>
      <c r="B22" s="3">
        <v>3115.8</v>
      </c>
      <c r="C22" s="3">
        <v>103.89400000000001</v>
      </c>
      <c r="D22" s="3">
        <v>5838.5</v>
      </c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>
      <c r="A23" s="1">
        <v>1997</v>
      </c>
      <c r="B23" s="3">
        <v>3392</v>
      </c>
      <c r="C23" s="3">
        <v>103.224</v>
      </c>
      <c r="D23" s="3">
        <v>6851</v>
      </c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>
      <c r="A24" s="1">
        <v>1998</v>
      </c>
      <c r="B24" s="3">
        <v>3686.9</v>
      </c>
      <c r="C24" s="3">
        <v>74.974000000000004</v>
      </c>
      <c r="D24" s="3">
        <v>5323.7</v>
      </c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>
      <c r="A25" s="1">
        <v>1999</v>
      </c>
      <c r="B25" s="3">
        <v>4391.2</v>
      </c>
      <c r="C25" s="3">
        <v>71.38</v>
      </c>
      <c r="D25" s="3">
        <v>6163.8</v>
      </c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>
      <c r="A26" s="1">
        <v>2000</v>
      </c>
      <c r="B26" s="3">
        <v>4602</v>
      </c>
      <c r="C26" s="3">
        <v>82.293999999999997</v>
      </c>
      <c r="D26" s="3">
        <v>7286.3</v>
      </c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>
      <c r="A27" s="1">
        <v>2001</v>
      </c>
      <c r="B27" s="3">
        <v>4739</v>
      </c>
      <c r="C27" s="3">
        <v>71.566000000000003</v>
      </c>
      <c r="D27" s="3">
        <v>6525.9</v>
      </c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>
      <c r="A28" s="1">
        <v>2002</v>
      </c>
      <c r="B28" s="3">
        <v>4580.6000000000004</v>
      </c>
      <c r="C28" s="3">
        <v>70.647000000000006</v>
      </c>
      <c r="D28" s="3">
        <v>6279.3</v>
      </c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>
      <c r="A29" s="1">
        <v>2003</v>
      </c>
      <c r="B29" s="3">
        <v>4904.2</v>
      </c>
      <c r="C29" s="3">
        <v>80.733999999999995</v>
      </c>
      <c r="D29" s="3">
        <v>7998.8310346300004</v>
      </c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>
      <c r="A30" s="1">
        <v>2004</v>
      </c>
      <c r="B30" s="3">
        <v>5412.5</v>
      </c>
      <c r="C30" s="3">
        <v>130.10599999999999</v>
      </c>
      <c r="D30" s="3">
        <v>15392.115263350001</v>
      </c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>
      <c r="A31" s="1">
        <v>2005</v>
      </c>
      <c r="B31" s="3">
        <v>5320.5</v>
      </c>
      <c r="C31" s="3">
        <v>167.08699999999999</v>
      </c>
      <c r="D31" s="3">
        <v>19911.68966426</v>
      </c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>
      <c r="A32" s="1">
        <v>2006</v>
      </c>
      <c r="B32" s="3">
        <v>5360.8</v>
      </c>
      <c r="C32" s="3">
        <v>305.29500000000002</v>
      </c>
      <c r="D32" s="3">
        <v>33990.187855509997</v>
      </c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>
      <c r="A33" s="1">
        <v>2007</v>
      </c>
      <c r="B33" s="3">
        <v>5557</v>
      </c>
      <c r="C33" s="3">
        <v>323.24599999999998</v>
      </c>
      <c r="D33" s="3">
        <v>39145.892674759998</v>
      </c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>
      <c r="A34" s="1">
        <v>2008</v>
      </c>
      <c r="B34" s="3">
        <v>5327.6</v>
      </c>
      <c r="C34" s="3">
        <v>315.31599999999997</v>
      </c>
      <c r="D34" s="3">
        <v>31688.055242779999</v>
      </c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A35" s="1">
        <v>2009</v>
      </c>
      <c r="B35" s="3">
        <v>5394.4</v>
      </c>
      <c r="C35" s="3">
        <v>234.21700000000001</v>
      </c>
      <c r="D35" s="3">
        <v>29637.317410799998</v>
      </c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>
      <c r="A36" s="1">
        <v>2010</v>
      </c>
      <c r="B36" s="3">
        <v>5418.9</v>
      </c>
      <c r="C36" s="3">
        <v>341.97800000000001</v>
      </c>
      <c r="D36" s="3">
        <v>41285.929052738</v>
      </c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>
      <c r="A37" s="1">
        <v>2011</v>
      </c>
      <c r="B37" s="3">
        <v>5262.8</v>
      </c>
      <c r="C37" s="3">
        <v>399.65600000000001</v>
      </c>
      <c r="D37" s="3">
        <v>44624.651059409996</v>
      </c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>
      <c r="A38" s="1">
        <v>2012</v>
      </c>
      <c r="B38" s="3">
        <v>5433.9</v>
      </c>
      <c r="C38" s="3">
        <v>360.59300000000002</v>
      </c>
      <c r="D38" s="3">
        <v>41906.064698000002</v>
      </c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>
      <c r="A39" s="1">
        <v>2013</v>
      </c>
      <c r="B39" s="3">
        <v>5776</v>
      </c>
      <c r="C39" s="3">
        <v>332.12</v>
      </c>
      <c r="D39" s="3">
        <v>39891.466376046999</v>
      </c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>
      <c r="A40" s="1">
        <v>2014</v>
      </c>
      <c r="B40" s="3">
        <v>5761.1</v>
      </c>
      <c r="C40" s="3">
        <v>311.255</v>
      </c>
      <c r="D40" s="3">
        <v>37256.686709900001</v>
      </c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A41" s="1">
        <v>2015</v>
      </c>
      <c r="B41" s="3">
        <v>5772.1</v>
      </c>
      <c r="C41" s="3">
        <v>249.226</v>
      </c>
      <c r="D41" s="3">
        <v>29935.4678184984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A42" s="1">
        <v>2016</v>
      </c>
      <c r="B42" s="3">
        <v>5552.6</v>
      </c>
      <c r="C42" s="3">
        <v>220.56299999999999</v>
      </c>
      <c r="D42" s="3">
        <v>27926.969159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A43" s="1">
        <v>2017</v>
      </c>
      <c r="B43" s="3">
        <v>5503.5</v>
      </c>
      <c r="C43" s="3">
        <v>279.68400000000003</v>
      </c>
      <c r="D43" s="3">
        <v>34000.920585056003</v>
      </c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>
      <c r="A44" s="1">
        <v>2018</v>
      </c>
      <c r="B44" s="3">
        <v>5831.6</v>
      </c>
      <c r="C44" s="3">
        <v>295.88</v>
      </c>
      <c r="D44" s="3">
        <v>35605.196758263497</v>
      </c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>
      <c r="A45" s="1">
        <v>2019</v>
      </c>
      <c r="B45" s="3">
        <v>5787.4</v>
      </c>
      <c r="C45" s="3">
        <v>272.14299999999997</v>
      </c>
      <c r="D45" s="3">
        <v>32572.9287244722</v>
      </c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>
      <c r="A46" s="1">
        <v>2020</v>
      </c>
      <c r="B46" s="3">
        <v>5733.1</v>
      </c>
      <c r="C46" s="3">
        <v>280.34899999999999</v>
      </c>
      <c r="D46" s="3">
        <v>38467.243152433599</v>
      </c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>
      <c r="A47" s="1">
        <v>2021</v>
      </c>
      <c r="B47" s="3">
        <v>5624.9</v>
      </c>
      <c r="C47" s="3">
        <v>422.63400000000001</v>
      </c>
      <c r="D47" s="3">
        <v>52535.810565252599</v>
      </c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>
      <c r="A48" s="1">
        <v>2022</v>
      </c>
      <c r="B48" s="3">
        <v>5328.3</v>
      </c>
      <c r="C48" s="3">
        <v>399.02600000000001</v>
      </c>
      <c r="D48" s="3">
        <v>43780.272023400001</v>
      </c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>
      <c r="A49" s="1">
        <v>2023</v>
      </c>
      <c r="B49" s="3">
        <v>5250.4</v>
      </c>
      <c r="C49" s="3">
        <v>384.54500000000002</v>
      </c>
      <c r="D49" s="3">
        <v>42603.761320199999</v>
      </c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>
      <c r="A50" s="1">
        <v>2024</v>
      </c>
      <c r="B50" s="3">
        <v>5505.9</v>
      </c>
      <c r="C50" s="3">
        <v>414.89100000000002</v>
      </c>
      <c r="D50" s="3">
        <v>49708.369220200002</v>
      </c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</vt:lpstr>
      <vt:lpstr>Dashboard</vt:lpstr>
      <vt:lpstr>Summary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Camilo Vergara</cp:lastModifiedBy>
  <dcterms:modified xsi:type="dcterms:W3CDTF">2026-09-08T00:36:10Z</dcterms:modified>
</cp:coreProperties>
</file>